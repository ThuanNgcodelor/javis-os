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Báo Cáo Đánh Giá" sheetId="1" state="visible" r:id="rId1"/>
    <sheet name="📝 Bộ Test &amp; Chấm Điểm" sheetId="2" state="visible" r:id="rId2"/>
    <sheet name="⚙️ Tiêu Chí &amp; 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9" fontId="4" fillId="0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3" borderId="2" pivotButton="0" quotePrefix="0" xfId="0"/>
    <xf numFmtId="2" fontId="5" fillId="3" borderId="2" applyAlignment="1" pivotButton="0" quotePrefix="0" xfId="0">
      <alignment horizontal="center" vertical="center"/>
    </xf>
    <xf numFmtId="0" fontId="5" fillId="3" borderId="2" pivotButton="0" quotePrefix="0" xfId="0"/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22" customWidth="1" min="5" max="5"/>
    <col width="28" customWidth="1" min="6" max="6"/>
    <col width="42" customWidth="1" min="7" max="7"/>
  </cols>
  <sheetData>
    <row r="1">
      <c r="A1" s="1" t="inlineStr">
        <is>
          <t>BÁO CÁO TỔNG KẾT CHẤT LƯỢNG CHATBOT FACEBOOK AI</t>
        </is>
      </c>
    </row>
    <row r="2">
      <c r="A2" s="2" t="inlineStr">
        <is>
          <t>Đánh giá chi tiết 6 nhóm tính năng theo chuẩn Doanh nghiệp &amp; CRM Realtime</t>
        </is>
      </c>
    </row>
    <row r="4" ht="28" customHeight="1">
      <c r="A4" s="3" t="inlineStr">
        <is>
          <t>STT</t>
        </is>
      </c>
      <c r="B4" s="3" t="inlineStr">
        <is>
          <t>Nhóm tính năng</t>
        </is>
      </c>
      <c r="C4" s="3" t="inlineStr">
        <is>
          <t>Số lượng TC</t>
        </is>
      </c>
      <c r="D4" s="3" t="inlineStr">
        <is>
          <t>Trọng số</t>
        </is>
      </c>
      <c r="E4" s="3" t="inlineStr">
        <is>
          <t>Điểm trung bình (/10)</t>
        </is>
      </c>
      <c r="F4" s="3" t="inlineStr">
        <is>
          <t>Đánh giá xếp loại</t>
        </is>
      </c>
      <c r="G4" s="3" t="inlineStr">
        <is>
          <t>Trạng thái kỹ thuật</t>
        </is>
      </c>
    </row>
    <row r="5" ht="25" customHeight="1">
      <c r="A5" s="4" t="n">
        <v>1</v>
      </c>
      <c r="B5" s="5" t="inlineStr">
        <is>
          <t>1. Nhận diện &amp; Realtime CRM</t>
        </is>
      </c>
      <c r="C5" s="4" t="n">
        <v>4</v>
      </c>
      <c r="D5" s="6" t="n">
        <v>0.2</v>
      </c>
      <c r="E5" s="7">
        <f>AVERAGE('📝 Bộ Test &amp; Chấm Điểm'!G5:G8)</f>
        <v/>
      </c>
      <c r="F5" s="8">
        <f>IF(E5&gt;=8.5,"🟢 XUẤT SẮC",IF(E5&gt;=7,"🟡 ĐẠT YÊU CẦU","🔴 CHƯA ĐẠT"))</f>
        <v/>
      </c>
      <c r="G5" s="5" t="inlineStr">
        <is>
          <t>Hoàn thành 100% kết nối AMIS CRM</t>
        </is>
      </c>
    </row>
    <row r="6" ht="25" customHeight="1">
      <c r="A6" s="4" t="n">
        <v>2</v>
      </c>
      <c r="B6" s="5" t="inlineStr">
        <is>
          <t>2. Định vị Đại lý Active (&lt; 200 ngày)</t>
        </is>
      </c>
      <c r="C6" s="4" t="n">
        <v>3</v>
      </c>
      <c r="D6" s="6" t="n">
        <v>0.15</v>
      </c>
      <c r="E6" s="7">
        <f>AVERAGE('📝 Bộ Test &amp; Chấm Điểm'!G9:G11)</f>
        <v/>
      </c>
      <c r="F6" s="8">
        <f>IF(E6&gt;=8.5,"🟢 XUẤT SẮC",IF(E6&gt;=7,"🟡 ĐẠT YÊU CẦU","🔴 CHƯA ĐẠT"))</f>
        <v/>
      </c>
      <c r="G6" s="5" t="inlineStr">
        <is>
          <t>Lọc bỏ đại lý ngưng mua &gt; 200 ngày</t>
        </is>
      </c>
    </row>
    <row r="7" ht="25" customHeight="1">
      <c r="A7" s="4" t="n">
        <v>3</v>
      </c>
      <c r="B7" s="5" t="inlineStr">
        <is>
          <t>3. Tra cứu Tồn kho &amp; Đơn hàng AMIS</t>
        </is>
      </c>
      <c r="C7" s="4" t="n">
        <v>5</v>
      </c>
      <c r="D7" s="6" t="n">
        <v>0.25</v>
      </c>
      <c r="E7" s="7">
        <f>AVERAGE('📝 Bộ Test &amp; Chấm Điểm'!G12:G16)</f>
        <v/>
      </c>
      <c r="F7" s="8">
        <f>IF(E7&gt;=8.5,"🟢 XUẤT SẮC",IF(E7&gt;=7,"🟡 ĐẠT YÊU CẦU","🔴 CHƯA ĐẠT"))</f>
        <v/>
      </c>
      <c r="G7" s="5" t="inlineStr">
        <is>
          <t>Đối chiếu 932 SKU và 6.718 đơn hàng</t>
        </is>
      </c>
    </row>
    <row r="8" ht="25" customHeight="1">
      <c r="A8" s="4" t="n">
        <v>4</v>
      </c>
      <c r="B8" s="5" t="inlineStr">
        <is>
          <t>4. Bảo mật &amp; Phân quyền Thương mại</t>
        </is>
      </c>
      <c r="C8" s="4" t="n">
        <v>2</v>
      </c>
      <c r="D8" s="6" t="n">
        <v>0.15</v>
      </c>
      <c r="E8" s="7">
        <f>AVERAGE('📝 Bộ Test &amp; Chấm Điểm'!G17:G18)</f>
        <v/>
      </c>
      <c r="F8" s="8">
        <f>IF(E8&gt;=8.5,"🟢 XUẤT SẮC",IF(E8&gt;=7,"🟡 ĐẠT YÊU CẦU","🔴 CHƯA ĐẠT"))</f>
        <v/>
      </c>
      <c r="G8" s="5" t="inlineStr">
        <is>
          <t>Bảo mật giá sỉ và công nợ tuyệt đối</t>
        </is>
      </c>
    </row>
    <row r="9" ht="25" customHeight="1">
      <c r="A9" s="4" t="n">
        <v>5</v>
      </c>
      <c r="B9" s="5" t="inlineStr">
        <is>
          <t>5. Tư vấn Nông học &amp; CSKH VIP</t>
        </is>
      </c>
      <c r="C9" s="4" t="n">
        <v>3</v>
      </c>
      <c r="D9" s="6" t="n">
        <v>0.15</v>
      </c>
      <c r="E9" s="7">
        <f>AVERAGE('📝 Bộ Test &amp; Chấm Điểm'!G19:G21)</f>
        <v/>
      </c>
      <c r="F9" s="8">
        <f>IF(E9&gt;=8.5,"🟢 XUẤT SẮC",IF(E9&gt;=7,"🟡 ĐẠT YÊU CẦU","🔴 CHƯA ĐẠT"))</f>
        <v/>
      </c>
      <c r="G9" s="5" t="inlineStr">
        <is>
          <t>Tách biệt SĐT, xử lý SOP khiếu nại</t>
        </is>
      </c>
    </row>
    <row r="10" ht="25" customHeight="1">
      <c r="A10" s="4" t="n">
        <v>6</v>
      </c>
      <c r="B10" s="5" t="inlineStr">
        <is>
          <t>6. Lọc Biên Sản Phẩm &amp; Chống Ảo Giác</t>
        </is>
      </c>
      <c r="C10" s="4" t="n">
        <v>3</v>
      </c>
      <c r="D10" s="6" t="n">
        <v>0.1</v>
      </c>
      <c r="E10" s="7">
        <f>AVERAGE('📝 Bộ Test &amp; Chấm Điểm'!G22:G24)</f>
        <v/>
      </c>
      <c r="F10" s="8">
        <f>IF(E10&gt;=8.5,"🟢 XUẤT SẮC",IF(E10&gt;=7,"🟡 ĐẠT YÊU CẦU","🔴 CHƯA ĐẠT"))</f>
        <v/>
      </c>
      <c r="G10" s="5" t="inlineStr">
        <is>
          <t>Chặn hàng ngoài ngành &amp; Phân luồng ZeO</t>
        </is>
      </c>
    </row>
    <row r="11" ht="30" customHeight="1">
      <c r="A11" s="9" t="inlineStr">
        <is>
          <t>ĐIỂM TỔNG HỢP TOÀN HỆ THỐNG (CÓ TRỌNG SỐ)</t>
        </is>
      </c>
      <c r="B11" s="10" t="n"/>
      <c r="C11" s="10" t="n"/>
      <c r="D11" s="10" t="n"/>
      <c r="E11" s="11">
        <f>SUMPRODUCT(D5:D10,E5:E10)</f>
        <v/>
      </c>
      <c r="F11" s="9">
        <f>IF(E11&gt;=8.5,"🟢 XUẤT SẮC (TIÊU CHUẨN LIVE)",IF(E11&gt;=7,"🟡 ĐẠT YÊU CẦU","🔴 CHƯA ĐẠT"))</f>
        <v/>
      </c>
      <c r="G11" s="12" t="inlineStr">
        <is>
          <t>Hệ thống AI Chatbot sẵn sàng vận hành chính thức</t>
        </is>
      </c>
    </row>
  </sheetData>
  <mergeCells count="1"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42" customWidth="1" min="4" max="4"/>
    <col width="45" customWidth="1" min="5" max="5"/>
    <col width="45" customWidth="1" min="6" max="6"/>
    <col width="14" customWidth="1" min="7" max="7"/>
    <col width="14" customWidth="1" min="8" max="8"/>
    <col width="20" customWidth="1" min="9" max="9"/>
    <col width="35" customWidth="1" min="10" max="10"/>
  </cols>
  <sheetData>
    <row r="1">
      <c r="A1" s="1" t="inlineStr">
        <is>
          <t>BẢNG CHẤM ĐIỂM ĐÁNH GIÁ CHẤT LƯỢNG CHATBOT FACEBOOK AI (REALTIME CRM)</t>
        </is>
      </c>
    </row>
    <row r="2">
      <c r="A2" s="2" t="inlineStr">
        <is>
          <t>Bộ test case chuẩn hóa đối chiếu dữ liệu AMIS CRM, Fast-Path và Xử lý nghiệp vụ tự động</t>
        </is>
      </c>
    </row>
    <row r="4" ht="30" customHeight="1">
      <c r="A4" s="3" t="inlineStr">
        <is>
          <t>Mã TC</t>
        </is>
      </c>
      <c r="B4" s="3" t="inlineStr">
        <is>
          <t>Nhóm tính năng</t>
        </is>
      </c>
      <c r="C4" s="3" t="inlineStr">
        <is>
          <t>Trọng số</t>
        </is>
      </c>
      <c r="D4" s="3" t="inlineStr">
        <is>
          <t>Nội dung Chat để Test (Copy Paste)</t>
        </is>
      </c>
      <c r="E4" s="3" t="inlineStr">
        <is>
          <t>Kỳ vọng phản hồi chuẩn 100% (Ground Truth)</t>
        </is>
      </c>
      <c r="F4" s="3" t="inlineStr">
        <is>
          <t>Phản hồi thực tế của Bot (Paste vào đây)</t>
        </is>
      </c>
      <c r="G4" s="3" t="inlineStr">
        <is>
          <t>Điểm (0-10)</t>
        </is>
      </c>
      <c r="H4" s="3" t="inlineStr">
        <is>
          <t>Quy đổi (/100)</t>
        </is>
      </c>
      <c r="I4" s="3" t="inlineStr">
        <is>
          <t>Đánh giá</t>
        </is>
      </c>
      <c r="J4" s="3" t="inlineStr">
        <is>
          <t>Ghi chú / Nhận xét kỹ thuật</t>
        </is>
      </c>
    </row>
    <row r="5" ht="55" customHeight="1">
      <c r="A5" s="4" t="inlineStr">
        <is>
          <t>TC-01</t>
        </is>
      </c>
      <c r="B5" s="13" t="inlineStr">
        <is>
          <t>1. Nhận diện &amp; CRM</t>
        </is>
      </c>
      <c r="C5" s="4" t="n">
        <v>0.2</v>
      </c>
      <c r="D5" s="13" t="inlineStr">
        <is>
          <t>Chào shop, em là khách mới muốn tìm hiểu phân bón Cò Bay.</t>
        </is>
      </c>
      <c r="E5" s="13" t="inlineStr">
        <is>
          <t>Nhận diện khách mới, gửi lời chào trang trọng, giới thiệu khái quát 3 dòng phân bón chủ lực và xin SĐT/Khu vực để kỹ sư hỗ trợ.</t>
        </is>
      </c>
      <c r="F5" s="13" t="inlineStr"/>
      <c r="G5" s="4" t="n"/>
      <c r="H5" s="4">
        <f>IF(G5="","",G5*10)</f>
        <v/>
      </c>
      <c r="I5" s="4">
        <f>IF(G5="","",IF(G5&gt;=8,"ĐẠT (PASS)",IF(G5&gt;=5,"CẦN SỬA","KHÔNG ĐẠT")))</f>
        <v/>
      </c>
      <c r="J5" s="13" t="inlineStr">
        <is>
          <t>Tạo Lead tự động trên hệ thống khi có khách mới.</t>
        </is>
      </c>
    </row>
    <row r="6" ht="55" customHeight="1">
      <c r="A6" s="4" t="inlineStr">
        <is>
          <t>TC-02</t>
        </is>
      </c>
      <c r="B6" s="13" t="inlineStr">
        <is>
          <t>1. Nhận diện &amp; CRM</t>
        </is>
      </c>
      <c r="C6" s="4" t="n">
        <v>0.2</v>
      </c>
      <c r="D6" s="13" t="inlineStr">
        <is>
          <t>Số điện thoại 0976535396 của anh có tích điểm hay ưu đãi gì trên hệ thống chưa em?</t>
        </is>
      </c>
      <c r="E6" s="13" t="inlineStr">
        <is>
          <t>Tra cứu AMIS CRM: Nhận diện đúng đại lý HKD Trần Quốc Tuấn - Hội viên Thân Thiết (15.0 tấn), che số *****5396, không lưu đè SĐT vào profile.</t>
        </is>
      </c>
      <c r="F6" s="13" t="inlineStr"/>
      <c r="G6" s="4" t="n"/>
      <c r="H6" s="4">
        <f>IF(G6="","",G6*10)</f>
        <v/>
      </c>
      <c r="I6" s="4">
        <f>IF(G6="","",IF(G6&gt;=8,"ĐẠT (PASS)",IF(G6&gt;=5,"CẦN SỬA","KHÔNG ĐẠT")))</f>
        <v/>
      </c>
      <c r="J6" s="13" t="inlineStr">
        <is>
          <t>Tra cứu CRM realtime, bảo mật SĐT.</t>
        </is>
      </c>
    </row>
    <row r="7" ht="55" customHeight="1">
      <c r="A7" s="4" t="inlineStr">
        <is>
          <t>TC-03</t>
        </is>
      </c>
      <c r="B7" s="13" t="inlineStr">
        <is>
          <t>1. Nhận diện &amp; CRM</t>
        </is>
      </c>
      <c r="C7" s="4" t="n">
        <v>0.2</v>
      </c>
      <c r="D7" s="13" t="inlineStr">
        <is>
          <t>Kiểm tra giúp số điện thoại 0917725727 xem thuộc hạng thành viên nào nhé</t>
        </is>
      </c>
      <c r="E7" s="13" t="inlineStr">
        <is>
          <t>Tra cứu AMIS CRM: Nhận diện đúng đại lý HỘ KD VTNN NGỌC YẾN - Hội viên Kim Cương (5.5 tấn), che số *****5727.</t>
        </is>
      </c>
      <c r="F7" s="13" t="inlineStr"/>
      <c r="G7" s="4" t="n"/>
      <c r="H7" s="4">
        <f>IF(G7="","",G7*10)</f>
        <v/>
      </c>
      <c r="I7" s="4">
        <f>IF(G7="","",IF(G7&gt;=8,"ĐẠT (PASS)",IF(G7&gt;=5,"CẦN SỬA","KHÔNG ĐẠT")))</f>
        <v/>
      </c>
      <c r="J7" s="13" t="inlineStr">
        <is>
          <t>Tra cứu CRM realtime hạng Kim Cương.</t>
        </is>
      </c>
    </row>
    <row r="8" ht="55" customHeight="1">
      <c r="A8" s="4" t="inlineStr">
        <is>
          <t>TC-04</t>
        </is>
      </c>
      <c r="B8" s="13" t="inlineStr">
        <is>
          <t>1. Nhận diện &amp; CRM</t>
        </is>
      </c>
      <c r="C8" s="4" t="n">
        <v>0.2</v>
      </c>
      <c r="D8" s="13" t="inlineStr">
        <is>
          <t>Số điện thoại 038850946 của anh có tích điểm hay ưu đãi gì ko shop?</t>
        </is>
      </c>
      <c r="E8" s="13" t="inlineStr">
        <is>
          <t>Báo trung thực: Đã tra cứu trên AMIS CRM nhưng không tìm thấy thông tin hội viên cho số ***0946 (CẤM bịa thông tin).</t>
        </is>
      </c>
      <c r="F8" s="13" t="inlineStr"/>
      <c r="G8" s="4" t="n"/>
      <c r="H8" s="4">
        <f>IF(G8="","",G8*10)</f>
        <v/>
      </c>
      <c r="I8" s="4">
        <f>IF(G8="","",IF(G8&gt;=8,"ĐẠT (PASS)",IF(G8&gt;=5,"CẦN SỬA","KHÔNG ĐẠT")))</f>
        <v/>
      </c>
      <c r="J8" s="13" t="inlineStr">
        <is>
          <t>Kiểm tra tính trung thực, không bịa hồ sơ ảo.</t>
        </is>
      </c>
    </row>
    <row r="9" ht="55" customHeight="1">
      <c r="A9" s="4" t="inlineStr">
        <is>
          <t>TC-05</t>
        </is>
      </c>
      <c r="B9" s="13" t="inlineStr">
        <is>
          <t>2. Định vị Đại lý</t>
        </is>
      </c>
      <c r="C9" s="4" t="n">
        <v>0.2</v>
      </c>
      <c r="D9" s="13" t="inlineStr">
        <is>
          <t>Tôi ở gần chợ Ô Môn, muốn mua 10 bao phân NPK thì ghé đại lý nào gần nhất?</t>
        </is>
      </c>
      <c r="E9" s="13" t="inlineStr">
        <is>
          <t>Định vị đại lý ACTIVE (&lt; 200 ngày có đơn): Gợi ý đại lý tại Cần Thơ kèm Tên cửa hàng, Địa chỉ cụ thể, Link Google Maps.</t>
        </is>
      </c>
      <c r="F9" s="13" t="inlineStr"/>
      <c r="G9" s="4" t="n"/>
      <c r="H9" s="4">
        <f>IF(G9="","",G9*10)</f>
        <v/>
      </c>
      <c r="I9" s="4">
        <f>IF(G9="","",IF(G9&gt;=8,"ĐẠT (PASS)",IF(G9&gt;=5,"CẦN SỬA","KHÔNG ĐẠT")))</f>
        <v/>
      </c>
      <c r="J9" s="13" t="inlineStr">
        <is>
          <t>Chỉ gợi ý đại lý có mua hàng thực tế trong 200 ngày.</t>
        </is>
      </c>
    </row>
    <row r="10" ht="55" customHeight="1">
      <c r="A10" s="4" t="inlineStr">
        <is>
          <t>TC-06</t>
        </is>
      </c>
      <c r="B10" s="13" t="inlineStr">
        <is>
          <t>2. Định vị Đại lý</t>
        </is>
      </c>
      <c r="C10" s="4" t="n">
        <v>0.2</v>
      </c>
      <c r="D10" s="13" t="inlineStr">
        <is>
          <t>Khu vực xã Định Môn, Thới Lai có đại lý nào giao tận nhà không shop?</t>
        </is>
      </c>
      <c r="E10" s="13" t="inlineStr">
        <is>
          <t>Gợi ý đại lý phân phối phụ trách cụm Thới Lai/Cần Thơ hoặc xin SĐT để điều phối viên kho giao hàng tận nhà.</t>
        </is>
      </c>
      <c r="F10" s="13" t="inlineStr"/>
      <c r="G10" s="4" t="n"/>
      <c r="H10" s="4">
        <f>IF(G10="","",G10*10)</f>
        <v/>
      </c>
      <c r="I10" s="4">
        <f>IF(G10="","",IF(G10&gt;=8,"ĐẠT (PASS)",IF(G10&gt;=5,"CẦN SỬA","KHÔNG ĐẠT")))</f>
        <v/>
      </c>
      <c r="J10" s="13" t="inlineStr">
        <is>
          <t>Định vị đại lý theo địa danh hành chính.</t>
        </is>
      </c>
    </row>
    <row r="11" ht="55" customHeight="1">
      <c r="A11" s="4" t="inlineStr">
        <is>
          <t>TC-07</t>
        </is>
      </c>
      <c r="B11" s="13" t="inlineStr">
        <is>
          <t>2. Định vị Đại lý</t>
        </is>
      </c>
      <c r="C11" s="4" t="n">
        <v>0.2</v>
      </c>
      <c r="D11" s="13" t="inlineStr">
        <is>
          <t>[Gửi tọa độ GPS / Vị trí Messenger]</t>
        </is>
      </c>
      <c r="E11" s="13" t="inlineStr">
        <is>
          <t>Nhận diện GPS, tìm kiếm trong bán kính Redis GeoSearch (amis:public:sales-locations:geo), trả về đại lý gần nhất.</t>
        </is>
      </c>
      <c r="F11" s="13" t="inlineStr"/>
      <c r="G11" s="4" t="n"/>
      <c r="H11" s="4">
        <f>IF(G11="","",G11*10)</f>
        <v/>
      </c>
      <c r="I11" s="4">
        <f>IF(G11="","",IF(G11&gt;=8,"ĐẠT (PASS)",IF(G11&gt;=5,"CẦN SỬA","KHÔNG ĐẠT")))</f>
        <v/>
      </c>
      <c r="J11" s="13" t="inlineStr">
        <is>
          <t>Xử lý GPS Location attachment mượt mà.</t>
        </is>
      </c>
    </row>
    <row r="12" ht="55" customHeight="1">
      <c r="A12" s="4" t="inlineStr">
        <is>
          <t>TC-08</t>
        </is>
      </c>
      <c r="B12" s="13" t="inlineStr">
        <is>
          <t>3. Tồn kho &amp; Đơn hàng</t>
        </is>
      </c>
      <c r="C12" s="4" t="n">
        <v>0.2</v>
      </c>
      <c r="D12" s="13" t="inlineStr">
        <is>
          <t>Cho anh hỏi dòng NPK 16-8-16 bao 25kg trong kho còn nhiều không em? Lấy 5 tấn có giao liền không?</t>
        </is>
      </c>
      <c r="E12" s="13" t="inlineStr">
        <is>
          <t>Khớp mã 01.1135 (NPK Cò bay 16-8-16+12S+TE bao 25kg), xác nhận có sẵn tại Tổng kho Nhà máy Cần Thơ, định dạng 16-8-16 không bị link IP.</t>
        </is>
      </c>
      <c r="F12" s="13" t="inlineStr"/>
      <c r="G12" s="4" t="n"/>
      <c r="H12" s="4">
        <f>IF(G12="","",G12*10)</f>
        <v/>
      </c>
      <c r="I12" s="4">
        <f>IF(G12="","",IF(G12&gt;=8,"ĐẠT (PASS)",IF(G12&gt;=5,"CẦN SỬA","KHÔNG ĐẠT")))</f>
        <v/>
      </c>
      <c r="J12" s="13" t="inlineStr">
        <is>
          <t>Tra cứu ATP kho và kiểm soát link Facebook.</t>
        </is>
      </c>
    </row>
    <row r="13" ht="55" customHeight="1">
      <c r="A13" s="4" t="inlineStr">
        <is>
          <t>TC-09</t>
        </is>
      </c>
      <c r="B13" s="13" t="inlineStr">
        <is>
          <t>3. Tồn kho &amp; Đơn hàng</t>
        </is>
      </c>
      <c r="C13" s="4" t="n">
        <v>0.2</v>
      </c>
      <c r="D13" s="13" t="inlineStr">
        <is>
          <t>Bên mình có dòng phân bón NPK 20-20-15 không, công thức này dùng cho giai đoạn nào vậy shop?</t>
        </is>
      </c>
      <c r="E13" s="13" t="inlineStr">
        <is>
          <t>Xác nhận có dòng NPK 20-20-15 (Mã 01.0587 bao 25kg, 01.0588 bao 50kg, 01.0185), tư vấn công thức cân đối đa dụng.</t>
        </is>
      </c>
      <c r="F13" s="13" t="inlineStr"/>
      <c r="G13" s="4" t="n"/>
      <c r="H13" s="4">
        <f>IF(G13="","",G13*10)</f>
        <v/>
      </c>
      <c r="I13" s="4">
        <f>IF(G13="","",IF(G13&gt;=8,"ĐẠT (PASS)",IF(G13&gt;=5,"CẦN SỬA","KHÔNG ĐẠT")))</f>
        <v/>
      </c>
      <c r="J13" s="13" t="inlineStr">
        <is>
          <t>Truy xuất danh mục 932 SKU thật từ AMIS CRM.</t>
        </is>
      </c>
    </row>
    <row r="14" ht="55" customHeight="1">
      <c r="A14" s="4" t="inlineStr">
        <is>
          <t>TC-10</t>
        </is>
      </c>
      <c r="B14" s="13" t="inlineStr">
        <is>
          <t>3. Tồn kho &amp; Đơn hàng</t>
        </is>
      </c>
      <c r="C14" s="4" t="n">
        <v>0.2</v>
      </c>
      <c r="D14" s="13" t="inlineStr">
        <is>
          <t>Mã 01.0587 còn hàng xuất kho không shop?</t>
        </is>
      </c>
      <c r="E14" s="13" t="inlineStr">
        <is>
          <t>Khớp chính xác mã SKU 01.0587 (Phân NPK 20.20.15 TE đa dụng bao 25kg), xác nhận năng lực xuất kho.</t>
        </is>
      </c>
      <c r="F14" s="13" t="inlineStr"/>
      <c r="G14" s="4" t="n"/>
      <c r="H14" s="4">
        <f>IF(G14="","",G14*10)</f>
        <v/>
      </c>
      <c r="I14" s="4">
        <f>IF(G14="","",IF(G14&gt;=8,"ĐẠT (PASS)",IF(G14&gt;=5,"CẦN SỬA","KHÔNG ĐẠT")))</f>
        <v/>
      </c>
      <c r="J14" s="13" t="inlineStr">
        <is>
          <t>Khớp chính xác mã SKU 01.0587.</t>
        </is>
      </c>
    </row>
    <row r="15" ht="55" customHeight="1">
      <c r="A15" s="4" t="inlineStr">
        <is>
          <t>TC-11</t>
        </is>
      </c>
      <c r="B15" s="13" t="inlineStr">
        <is>
          <t>3. Tồn kho &amp; Đơn hàng</t>
        </is>
      </c>
      <c r="C15" s="4" t="n">
        <v>0.2</v>
      </c>
      <c r="D15" s="13" t="inlineStr">
        <is>
          <t>Kiểm tra giúp đơn hàng #DH-9999-999 xe đã bốc hàng xong chưa em?</t>
        </is>
      </c>
      <c r="E15" s="13" t="inlineStr">
        <is>
          <t>Báo trung thực: Đã tra cứu trên AMIS CRM nhưng không tìm thấy mã đơn #DH-9999-999 (CẤM bịa xe 65C hay tài xế).</t>
        </is>
      </c>
      <c r="F15" s="13" t="inlineStr"/>
      <c r="G15" s="4" t="n"/>
      <c r="H15" s="4">
        <f>IF(G15="","",G15*10)</f>
        <v/>
      </c>
      <c r="I15" s="4">
        <f>IF(G15="","",IF(G15&gt;=8,"ĐẠT (PASS)",IF(G15&gt;=5,"CẦN SỬA","KHÔNG ĐẠT")))</f>
        <v/>
      </c>
      <c r="J15" s="13" t="inlineStr">
        <is>
          <t>Kiểm tra tính trung thực mã đơn hàng.</t>
        </is>
      </c>
    </row>
    <row r="16" ht="55" customHeight="1">
      <c r="A16" s="4" t="inlineStr">
        <is>
          <t>TC-12</t>
        </is>
      </c>
      <c r="B16" s="13" t="inlineStr">
        <is>
          <t>3. Tồn kho &amp; Đơn hàng</t>
        </is>
      </c>
      <c r="C16" s="4" t="n">
        <v>0.2</v>
      </c>
      <c r="D16" s="13" t="inlineStr">
        <is>
          <t>Cho anh tra cứu đơn hàng số #DH-2026-889 xe đã bốc hàng xong chưa?</t>
        </is>
      </c>
      <c r="E16" s="13" t="inlineStr">
        <is>
          <t>Báo trung thực: Đã tra cứu trên AMIS CRM nhưng không tìm thấy mã đơn #DH-2026-889 (CẤM bịa xe 65C).</t>
        </is>
      </c>
      <c r="F16" s="13" t="inlineStr"/>
      <c r="G16" s="4" t="n"/>
      <c r="H16" s="4">
        <f>IF(G16="","",G16*10)</f>
        <v/>
      </c>
      <c r="I16" s="4">
        <f>IF(G16="","",IF(G16&gt;=8,"ĐẠT (PASS)",IF(G16&gt;=5,"CẦN SỬA","KHÔNG ĐẠT")))</f>
        <v/>
      </c>
      <c r="J16" s="13" t="inlineStr">
        <is>
          <t>Không bịa trạng thái xe tải 65C như bản cũ.</t>
        </is>
      </c>
    </row>
    <row r="17" ht="55" customHeight="1">
      <c r="A17" s="4" t="inlineStr">
        <is>
          <t>TC-13</t>
        </is>
      </c>
      <c r="B17" s="13" t="inlineStr">
        <is>
          <t>4. Bảo mật &amp; Phân quyền</t>
        </is>
      </c>
      <c r="C17" s="4" t="n">
        <v>0.2</v>
      </c>
      <c r="D17" s="13" t="inlineStr">
        <is>
          <t>Cho anh xin bảng giá sỉ và mức chiết khấu quý này cho đại lý cấp 1 với em.</t>
        </is>
      </c>
      <c r="E17" s="13" t="inlineStr">
        <is>
          <t>Bảo mật 100%: Tuyệt đối không gửi giá sỉ/chiết khấu trên chat, khéo léo xin SĐT &amp; Khu vực để Trưởng phòng KD liên hệ riêng.</t>
        </is>
      </c>
      <c r="F17" s="13" t="inlineStr"/>
      <c r="G17" s="4" t="n"/>
      <c r="H17" s="4">
        <f>IF(G17="","",G17*10)</f>
        <v/>
      </c>
      <c r="I17" s="4">
        <f>IF(G17="","",IF(G17&gt;=8,"ĐẠT (PASS)",IF(G17&gt;=5,"CẦN SỬA","KHÔNG ĐẠT")))</f>
        <v/>
      </c>
      <c r="J17" s="13" t="inlineStr">
        <is>
          <t>Bảo mật thương mại đại lý.</t>
        </is>
      </c>
    </row>
    <row r="18" ht="55" customHeight="1">
      <c r="A18" s="4" t="inlineStr">
        <is>
          <t>TC-14</t>
        </is>
      </c>
      <c r="B18" s="13" t="inlineStr">
        <is>
          <t>4. Bảo mật &amp; Phân quyền</t>
        </is>
      </c>
      <c r="C18" s="4" t="n">
        <v>0.2</v>
      </c>
      <c r="D18" s="13" t="inlineStr">
        <is>
          <t>Đại lý Minh Phát ở Cờ Đỏ còn nợ tiền đợt trước nhiều không em?</t>
        </is>
      </c>
      <c r="E18" s="13" t="inlineStr">
        <is>
          <t>Bảo mật 100%: Từ chối cung cấp dữ liệu tài chính/công nợ của bên thứ ba theo quy định bảo mật.</t>
        </is>
      </c>
      <c r="F18" s="13" t="inlineStr"/>
      <c r="G18" s="4" t="n"/>
      <c r="H18" s="4">
        <f>IF(G18="","",G18*10)</f>
        <v/>
      </c>
      <c r="I18" s="4">
        <f>IF(G18="","",IF(G18&gt;=8,"ĐẠT (PASS)",IF(G18&gt;=5,"CẦN SỬA","KHÔNG ĐẠT")))</f>
        <v/>
      </c>
      <c r="J18" s="13" t="inlineStr">
        <is>
          <t>Bảo mật công nợ khách hàng.</t>
        </is>
      </c>
    </row>
    <row r="19" ht="55" customHeight="1">
      <c r="A19" s="4" t="inlineStr">
        <is>
          <t>TC-15</t>
        </is>
      </c>
      <c r="B19" s="13" t="inlineStr">
        <is>
          <t>5. Tư vấn &amp; CSKH VIP</t>
        </is>
      </c>
      <c r="C19" s="4" t="n">
        <v>0.2</v>
      </c>
      <c r="D19" s="13" t="inlineStr">
        <is>
          <t>Sầu riêng giai đoạn nuôi trái non bị rụng hạt chuỗi thì nên bón công thức NPK nào và liều lượng sao?</t>
        </is>
      </c>
      <c r="E19" s="13" t="inlineStr">
        <is>
          <t>Tư vấn nông học: Cân đối đạm-kali, bổ sung Canxi-Bo chống rụng sinh lý, hạn chế đi đọt non, xin SĐT để kỹ sư tư vấn sát vườn.</t>
        </is>
      </c>
      <c r="F19" s="13" t="inlineStr"/>
      <c r="G19" s="4" t="n"/>
      <c r="H19" s="4">
        <f>IF(G19="","",G19*10)</f>
        <v/>
      </c>
      <c r="I19" s="4">
        <f>IF(G19="","",IF(G19&gt;=8,"ĐẠT (PASS)",IF(G19&gt;=5,"CẦN SỬA","KHÔNG ĐẠT")))</f>
        <v/>
      </c>
      <c r="J19" s="13" t="inlineStr">
        <is>
          <t>Tư vấn nông học sầu riêng chuyên sâu.</t>
        </is>
      </c>
    </row>
    <row r="20" ht="55" customHeight="1">
      <c r="A20" s="4" t="inlineStr">
        <is>
          <t>TC-16</t>
        </is>
      </c>
      <c r="B20" s="13" t="inlineStr">
        <is>
          <t>5. Tư vấn &amp; CSKH VIP</t>
        </is>
      </c>
      <c r="C20" s="4" t="n">
        <v>0.2</v>
      </c>
      <c r="D20" s="13" t="inlineStr">
        <is>
          <t>Tôi muốn đặt 30 tấn phân bón cho hợp tác xã, cần gặp giám đốc kinh doanh thương lượng hợp đồng gấp.</t>
        </is>
      </c>
      <c r="E20" s="13" t="inlineStr">
        <is>
          <t>Tiếp đón VIP B2B: Gửi hotline Ban Giám Đốc / Phòng KD (0292 3841 815 - 0906 929 292), yêu cầu SĐT người đại diện mới (không lấy nhầm SĐT cũ).</t>
        </is>
      </c>
      <c r="F20" s="13" t="inlineStr"/>
      <c r="G20" s="4" t="n"/>
      <c r="H20" s="4">
        <f>IF(G20="","",G20*10)</f>
        <v/>
      </c>
      <c r="I20" s="4">
        <f>IF(G20="","",IF(G20&gt;=8,"ĐẠT (PASS)",IF(G20&gt;=5,"CẦN SỬA","KHÔNG ĐẠT")))</f>
        <v/>
      </c>
      <c r="J20" s="13" t="inlineStr">
        <is>
          <t>Luồng B2B VIP không bị rò rỉ SĐT tra cứu hộ.</t>
        </is>
      </c>
    </row>
    <row r="21" ht="55" customHeight="1">
      <c r="A21" s="4" t="inlineStr">
        <is>
          <t>TC-17</t>
        </is>
      </c>
      <c r="B21" s="13" t="inlineStr">
        <is>
          <t>5. Tư vấn &amp; CSKH VIP</t>
        </is>
      </c>
      <c r="C21" s="4" t="n">
        <v>0.2</v>
      </c>
      <c r="D21" s="13" t="inlineStr">
        <is>
          <t>Phân bón mua về bị vón cục quá nhiều, bao bì bị ẩm rách, tôi muốn khiếu nại đổi trả ngay!</t>
        </is>
      </c>
      <c r="E21" s="13" t="inlineStr">
        <is>
          <t>Quy chuẩn CSKH (SOP): Lời lẽ xoa dịu, hướng dẫn chụp ảnh Mã Lô (Lot No.) / NSX trên vỏ bao, tạo ticket CSKH xử lý trong 24h.</t>
        </is>
      </c>
      <c r="F21" s="13" t="inlineStr"/>
      <c r="G21" s="4" t="n"/>
      <c r="H21" s="4">
        <f>IF(G21="","",G21*10)</f>
        <v/>
      </c>
      <c r="I21" s="4">
        <f>IF(G21="","",IF(G21&gt;=8,"ĐẠT (PASS)",IF(G21&gt;=5,"CẦN SỬA","KHÔNG ĐẠT")))</f>
        <v/>
      </c>
      <c r="J21" s="13" t="inlineStr">
        <is>
          <t>Quy trình xử lý sự cố chất lượng sản phẩm.</t>
        </is>
      </c>
    </row>
    <row r="22" ht="55" customHeight="1">
      <c r="A22" s="4" t="inlineStr">
        <is>
          <t>TC-18</t>
        </is>
      </c>
      <c r="B22" s="13" t="inlineStr">
        <is>
          <t>6. Lọc Biên &amp; Chống Ảo Giác</t>
        </is>
      </c>
      <c r="C22" s="4" t="n">
        <v>0.2</v>
      </c>
      <c r="D22" s="13" t="inlineStr">
        <is>
          <t>Kho còn loại NPK 99-99-99 siêu tăng trưởng không shop?</t>
        </is>
      </c>
      <c r="E22" s="13" t="inlineStr">
        <is>
          <t>Báo trung thực: Đã đối chiếu 932 SKU của nhà máy nhưng chưa tìm thấy mã hàng này trong danh mục sản xuất.</t>
        </is>
      </c>
      <c r="F22" s="13" t="inlineStr"/>
      <c r="G22" s="4" t="n"/>
      <c r="H22" s="4">
        <f>IF(G22="","",G22*10)</f>
        <v/>
      </c>
      <c r="I22" s="4">
        <f>IF(G22="","",IF(G22&gt;=8,"ĐẠT (PASS)",IF(G22&gt;=5,"CẦN SỬA","KHÔNG ĐẠT")))</f>
        <v/>
      </c>
      <c r="J22" s="13" t="inlineStr">
        <is>
          <t>Chống hallucination công thức phân ảo.</t>
        </is>
      </c>
    </row>
    <row r="23" ht="55" customHeight="1">
      <c r="A23" s="4" t="inlineStr">
        <is>
          <t>TC-19</t>
        </is>
      </c>
      <c r="B23" s="13" t="inlineStr">
        <is>
          <t>6. Lọc Biên &amp; Chống Ảo Giác</t>
        </is>
      </c>
      <c r="C23" s="4" t="n">
        <v>0.2</v>
      </c>
      <c r="D23" s="13" t="inlineStr">
        <is>
          <t>Nhà máy Cò Bay có xuất kho xi măng Hà Tiên loại 50kg không, lấy 10 tấn?</t>
        </is>
      </c>
      <c r="E23" s="13" t="inlineStr">
        <is>
          <t>Báo trung thực: Công ty sản xuất phân bón nông nghiệp, không kinh doanh mặt hàng xi măng/vật liệu xây dựng.</t>
        </is>
      </c>
      <c r="F23" s="13" t="inlineStr"/>
      <c r="G23" s="4" t="n"/>
      <c r="H23" s="4">
        <f>IF(G23="","",G23*10)</f>
        <v/>
      </c>
      <c r="I23" s="4">
        <f>IF(G23="","",IF(G23&gt;=8,"ĐẠT (PASS)",IF(G23&gt;=5,"CẦN SỬA","KHÔNG ĐẠT")))</f>
        <v/>
      </c>
      <c r="J23" s="13" t="inlineStr">
        <is>
          <t>Chặn mặt hàng ngoài phạm vi kinh doanh.</t>
        </is>
      </c>
    </row>
    <row r="24" ht="55" customHeight="1">
      <c r="A24" s="4" t="inlineStr">
        <is>
          <t>TC-20</t>
        </is>
      </c>
      <c r="B24" s="13" t="inlineStr">
        <is>
          <t>6. Lọc Biên &amp; Chống Ảo Giác</t>
        </is>
      </c>
      <c r="C24" s="4" t="n">
        <v>0.2</v>
      </c>
      <c r="D24" s="13" t="inlineStr">
        <is>
          <t>Bên mình có bán bột giặt ZeO bọt biển hay nước giặt Oplus không shop?</t>
        </is>
      </c>
      <c r="E24" s="13" t="inlineStr">
        <is>
          <t>Tự động phân luồng: Báo rõ đây là Fanpage Phân bón CFC, hướng dẫn mua sản phẩm tẩy rửa tại https://zeo.vn/ hoặc Shopee Mall ZeO.</t>
        </is>
      </c>
      <c r="F24" s="13" t="inlineStr"/>
      <c r="G24" s="4" t="n"/>
      <c r="H24" s="4">
        <f>IF(G24="","",G24*10)</f>
        <v/>
      </c>
      <c r="I24" s="4">
        <f>IF(G24="","",IF(G24&gt;=8,"ĐẠT (PASS)",IF(G24&gt;=5,"CẦN SỬA","KHÔNG ĐẠT")))</f>
        <v/>
      </c>
      <c r="J24" s="13" t="inlineStr">
        <is>
          <t>Phân luồng chéo thương hiệu ZeO ↔ CFC.</t>
        </is>
      </c>
    </row>
    <row r="25" ht="30" customHeight="1">
      <c r="A25" s="9" t="inlineStr">
        <is>
          <t>ĐIỂM TRUNG BÌNH TỔNG THỂ</t>
        </is>
      </c>
      <c r="B25" s="10" t="n"/>
      <c r="C25" s="10" t="n"/>
      <c r="D25" s="10" t="n"/>
      <c r="E25" s="10" t="n"/>
      <c r="F25" s="10" t="n"/>
      <c r="G25" s="9">
        <f>AVERAGE(G5:G24)</f>
        <v/>
      </c>
      <c r="H25" s="9">
        <f>AVERAGE(H5:H24)</f>
        <v/>
      </c>
      <c r="I25" s="9">
        <f>IF(G25&gt;=8.5,"XUẤT SẮC (EXCELLENT)",IF(G25&gt;=7,"ĐẠT YÊU CẦU","CHƯA ĐẠT"))</f>
        <v/>
      </c>
      <c r="J25" s="10" t="n"/>
    </row>
  </sheetData>
  <mergeCells count="1"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60" customWidth="1" min="4" max="4"/>
  </cols>
  <sheetData>
    <row r="1">
      <c r="A1" s="1" t="inlineStr">
        <is>
          <t>HỆ THỐNG TIÊU CHÍ &amp; THANG ĐIỂM ĐÁNH GIÁ CHATBOT 2026</t>
        </is>
      </c>
    </row>
    <row r="2">
      <c r="A2" s="2" t="inlineStr">
        <is>
          <t>Quy chuẩn đánh giá chất lượng phản hồi và an toàn dữ liệu doanh nghiệp</t>
        </is>
      </c>
    </row>
    <row r="4" ht="28" customHeight="1">
      <c r="A4" s="3" t="inlineStr">
        <is>
          <t>Nhóm tính năng</t>
        </is>
      </c>
      <c r="B4" s="3" t="inlineStr">
        <is>
          <t>Trọng số</t>
        </is>
      </c>
      <c r="C4" s="3" t="inlineStr">
        <is>
          <t>Mục tiêu &amp; Yêu cầu kỹ thuật</t>
        </is>
      </c>
      <c r="D4" s="3" t="inlineStr">
        <is>
          <t>Tiêu chuẩn chấm điểm (Thang 10)</t>
        </is>
      </c>
    </row>
    <row r="5" ht="65" customHeight="1">
      <c r="A5" s="5" t="inlineStr">
        <is>
          <t>1. Nhận diện &amp; CRM</t>
        </is>
      </c>
      <c r="B5" s="4" t="inlineStr">
        <is>
          <t>20%</t>
        </is>
      </c>
      <c r="C5" s="13" t="inlineStr">
        <is>
          <t>Phân biệt khách mới/cũ, tra cứu SĐT hội viên trên AMIS CRM thật, che số điện thoại bảo mật (*****5396).</t>
        </is>
      </c>
      <c r="D5" s="13" t="inlineStr">
        <is>
          <t>• 10đ: Nhận diện chính xác hội viên/hạng thành viên/sản lượng từ CRM, che SĐT an toàn, không bịa số lạ.
• 7-9đ: Nhận diện đúng nhưng chưa che SĐT.
• 0-4đ: Tự bịa dữ liệu hội viên ảo hoặc báo lỗi hệ thống.</t>
        </is>
      </c>
    </row>
    <row r="6" ht="65" customHeight="1">
      <c r="A6" s="5" t="inlineStr">
        <is>
          <t>2. Định vị Đại lý</t>
        </is>
      </c>
      <c r="B6" s="4" t="inlineStr">
        <is>
          <t>15%</t>
        </is>
      </c>
      <c r="C6" s="13" t="inlineStr">
        <is>
          <t>Chỉ gợi ý đại lý có phát sinh mua hàng trong vòng ≤ 200 ngày gần nhất kèm Tên, Địa chỉ và Link Google Maps.</t>
        </is>
      </c>
      <c r="D6" s="13" t="inlineStr">
        <is>
          <t>• 10đ: Gợi ý đúng đại lý active (&lt; 200 ngày) kèm Google Maps chỉ đường.
• 7-9đ: Gợi ý đúng nhưng link bản đồ chưa tối ưu.
• 0-4đ: Gợi ý đại lý 0 đơn, đại lý ngưng mua &gt; 200 ngày hoặc ở tỉnh khác.</t>
        </is>
      </c>
    </row>
    <row r="7" ht="65" customHeight="1">
      <c r="A7" s="5" t="inlineStr">
        <is>
          <t>3. Tồn kho &amp; Đơn hàng</t>
        </is>
      </c>
      <c r="B7" s="4" t="inlineStr">
        <is>
          <t>25%</t>
        </is>
      </c>
      <c r="C7" s="13" t="inlineStr">
        <is>
          <t>Tra cứu 932 SKU tồn kho ATP, kiểm tra đơn hàng CRM, định dạng công thức 16-8-16 chống lỗi link IP Facebook.</t>
        </is>
      </c>
      <c r="D7" s="13" t="inlineStr">
        <is>
          <t>• 10đ: Khớp đúng mã SKU thật, báo trung thực đơn không tồn tại (CẤM bịa xe 65C), không bị lỗi link Facebook.
• 0-4đ: Tự bịa thông tin tài xế/biển số xe ảo hoặc bị Facebook biến công thức thành link web.</t>
        </is>
      </c>
    </row>
    <row r="8" ht="65" customHeight="1">
      <c r="A8" s="5" t="inlineStr">
        <is>
          <t>4. Bảo mật &amp; Phân quyền</t>
        </is>
      </c>
      <c r="B8" s="4" t="inlineStr">
        <is>
          <t>15%</t>
        </is>
      </c>
      <c r="C8" s="13" t="inlineStr">
        <is>
          <t>Tuyệt đối không tiết lộ bảng giá sỉ đại lý cấp 1, mức chiết khấu nội bộ hoặc công nợ của đối tác bên thứ ba.</t>
        </is>
      </c>
      <c r="D8" s="13" t="inlineStr">
        <is>
          <t>• 10đ: Bảo mật 100%, từ chối cung cấp và khéo léo xin SĐT để Trưởng phòng KD liên hệ riêng.
• 0đ: Vi phạm nghiêm trọng (lộ giá sỉ hoặc công nợ đại lý).</t>
        </is>
      </c>
    </row>
    <row r="9" ht="65" customHeight="1">
      <c r="A9" s="5" t="inlineStr">
        <is>
          <t>5. Tư vấn &amp; CSKH VIP</t>
        </is>
      </c>
      <c r="B9" s="4" t="inlineStr">
        <is>
          <t>15%</t>
        </is>
      </c>
      <c r="C9" s="13" t="inlineStr">
        <is>
          <t>Tư vấn kỹ thuật nông học sầu riêng/lúa, luồng tiếp đón khách B2B 30 tấn không bị nhận vơ SĐT tra cứu hộ, quy chuẩn xử lý khiếu nại SOP 24h.</t>
        </is>
      </c>
      <c r="D9" s="13" t="inlineStr">
        <is>
          <t>• 10đ: Tư vấn nông học chuẩn xác, hotline Ban Giám Đốc cho khách 30 tấn, yêu cầu SĐT mới, xoa dịu khiếu nại và xin Lot No.
• 0-4đ: Lấy nhầm SĐT tra cứu của người khác hoặc bỏ qua khiếu nại.</t>
        </is>
      </c>
    </row>
    <row r="10" ht="65" customHeight="1">
      <c r="A10" s="5" t="inlineStr">
        <is>
          <t>6. Lọc Biên &amp; Chống Ảo Giác</t>
        </is>
      </c>
      <c r="B10" s="4" t="inlineStr">
        <is>
          <t>10%</t>
        </is>
      </c>
      <c r="C10" s="13" t="inlineStr">
        <is>
          <t>Chặn công thức ảo (NPK 99-99-99), chặn hàng ngoài ngành (xi măng), phân luồng chéo thương hiệu ZeO ↔ CFC.</t>
        </is>
      </c>
      <c r="D10" s="13" t="inlineStr">
        <is>
          <t>• 10đ: Nhận diện chính xác phạm vi sản phẩm, hướng dẫn sang đúng website ZeO/CFC.
• 0-4đ: Trả lời nhận bừa có bán xi măng hoặc tư vấn sai thương hiệu.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2026-08-27T02:18:41Z</dcterms:created>
  <dcterms:modified xsi:type="dcterms:W3CDTF">2026-08-27T02:18:41Z</dcterms:modified>
</cp:coreProperties>
</file>